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S:\Osnobxyqvvp_Vvwld\W-Kcyiipx Vltvpinamrsvovg\3324\8. Tfoajtwbc\04-53-1161 4581U 7449V 3360Z\"/>
    </mc:Choice>
  </mc:AlternateContent>
  <xr:revisionPtr revIDLastSave="0" documentId="13_ncr:1_{45B9AA61-7B55-4987-86AF-66120FCCAC94}" xr6:coauthVersionLast="47" xr6:coauthVersionMax="47" xr10:uidLastSave="{00000000-0000-0000-0000-000000000000}"/>
  <bookViews>
    <workbookView xWindow="2250" yWindow="2250" windowWidth="19320" windowHeight="11460" xr2:uid="{00000000-000D-0000-FFFF-FFFF00000000}"/>
  </bookViews>
  <sheets>
    <sheet name="Actual Table" sheetId="11" r:id="rId1"/>
  </sheets>
  <definedNames>
    <definedName name="_xlnm._FilterDatabase" localSheetId="0" hidden="1">'Actual Table'!$A$1:$Q$4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1" l="1"/>
  <c r="P3" i="11"/>
  <c r="H3" i="11"/>
  <c r="J3" i="11" s="1"/>
  <c r="M3" i="11" s="1"/>
  <c r="P6" i="11"/>
  <c r="H6" i="11"/>
  <c r="J6" i="11" s="1"/>
  <c r="M6" i="11" s="1"/>
  <c r="P5" i="11"/>
  <c r="H5" i="11"/>
  <c r="J5" i="11" s="1"/>
  <c r="M5" i="11" s="1"/>
  <c r="P4" i="11"/>
  <c r="H4" i="11"/>
  <c r="J4" i="11" s="1"/>
  <c r="M4" i="11" s="1"/>
  <c r="P2" i="11"/>
  <c r="H2" i="11"/>
  <c r="J2" i="11" s="1"/>
  <c r="M2" i="11" s="1"/>
  <c r="Q3" i="11" l="1"/>
  <c r="Q6" i="11"/>
  <c r="Q5" i="11"/>
  <c r="Q2" i="11"/>
  <c r="Q4" i="11"/>
</calcChain>
</file>

<file path=xl/sharedStrings.xml><?xml version="1.0" encoding="utf-8"?>
<sst xmlns="http://schemas.openxmlformats.org/spreadsheetml/2006/main" count="37" uniqueCount="30">
  <si>
    <t>#</t>
  </si>
  <si>
    <t>Code</t>
  </si>
  <si>
    <t>Name</t>
  </si>
  <si>
    <t>Status</t>
  </si>
  <si>
    <t>Lot#</t>
  </si>
  <si>
    <t>wt of 20 capsules (mg)</t>
  </si>
  <si>
    <t>Wt Taken (mg)</t>
  </si>
  <si>
    <t>Average Wt (mg)</t>
  </si>
  <si>
    <t>DLC TCp
LI (mg)</t>
  </si>
  <si>
    <t>MIE vkzbva (mg)</t>
  </si>
  <si>
    <t>VF (mL)</t>
  </si>
  <si>
    <t>Conc. (mg/mL)</t>
  </si>
  <si>
    <t>Recovery (ng/mL)</t>
  </si>
  <si>
    <t>Daily dose
Unit</t>
  </si>
  <si>
    <t>Daily amount
(mg/day)</t>
  </si>
  <si>
    <t>Ncmbooz BNG
(ng/day)</t>
  </si>
  <si>
    <t>2251V</t>
  </si>
  <si>
    <t>0868W</t>
  </si>
  <si>
    <t>P147463</t>
  </si>
  <si>
    <t>Dilution</t>
  </si>
  <si>
    <t>1988U</t>
  </si>
  <si>
    <t>JQH 17mg Cfdlwhs</t>
  </si>
  <si>
    <t>TFV 14mg Efvbady</t>
  </si>
  <si>
    <t>3HNIR-8319za</t>
  </si>
  <si>
    <t>F782437</t>
  </si>
  <si>
    <t>6MLCD-45ts</t>
  </si>
  <si>
    <t>7VPTR-855cv</t>
  </si>
  <si>
    <t>7JYIJ-44kv</t>
  </si>
  <si>
    <t>FP</t>
  </si>
  <si>
    <t>J058299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</si>
</sst>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6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618C-9C98-4FB2-9D50-A53A8C99FE13}">
  <sheetPr>
    <pageSetUpPr fitToPage="1"/>
  </sheetPr>
  <dimension ref="A1:T7"/>
  <sheetViews>
    <sheetView tabSelected="1" zoomScale="85" zoomScaleNormal="85" workbookViewId="0">
      <selection activeCell="S14" sqref="S14"/>
    </sheetView>
  </sheetViews>
  <sheetFormatPr defaultRowHeight="15" x14ac:dyDescent="0.25"/>
  <cols>
    <col min="1" max="1" width="3" bestFit="1" customWidth="1"/>
    <col min="2" max="2" width="6.42578125" bestFit="1" customWidth="1"/>
    <col min="3" max="3" width="17.5703125" bestFit="1" customWidth="1"/>
    <col min="4" max="4" width="13.7109375" bestFit="1" customWidth="1"/>
    <col min="5" max="5" width="8.140625" bestFit="1" customWidth="1"/>
    <col min="6" max="6" width="8.5703125" bestFit="1" customWidth="1"/>
    <col min="7" max="7" width="7.5703125" bestFit="1" customWidth="1"/>
    <col min="8" max="8" width="8.28515625" bestFit="1" customWidth="1"/>
    <col min="9" max="9" width="8.140625" bestFit="1" customWidth="1"/>
    <col min="10" max="10" width="8.42578125" bestFit="1" customWidth="1"/>
    <col min="11" max="11" width="7.7109375" bestFit="1" customWidth="1"/>
    <col min="12" max="12" width="8.140625" bestFit="1" customWidth="1"/>
    <col min="13" max="13" width="8.5703125" bestFit="1" customWidth="1"/>
    <col min="15" max="15" width="5.42578125" bestFit="1" customWidth="1"/>
    <col min="17" max="17" width="8.5703125" bestFit="1" customWidth="1"/>
  </cols>
  <sheetData>
    <row r="1" spans="1:20" ht="45" x14ac:dyDescent="0.25">
      <c r="A1" s="1" t="s">
        <v>0</v>
      </c>
      <c r="B1" s="2" t="s">
        <v>1</v>
      </c>
      <c r="C1" s="3" t="s">
        <v>2</v>
      </c>
      <c r="D1" s="4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19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20" x14ac:dyDescent="0.25">
      <c r="A2" s="7">
        <v>1</v>
      </c>
      <c r="B2" s="16" t="s">
        <v>20</v>
      </c>
      <c r="C2" s="15" t="s">
        <v>21</v>
      </c>
      <c r="D2" s="8" t="s">
        <v>28</v>
      </c>
      <c r="E2" s="17" t="s">
        <v>29</v>
      </c>
      <c r="F2" s="9">
        <v>1457.40</v>
      </c>
      <c r="G2" s="9">
        <v>9288.7048525467716</v>
      </c>
      <c r="H2" s="10">
        <f>F2/20</f>
        <v>558.8751</v>
      </c>
      <c r="I2" s="11">
        <v>25</v>
      </c>
      <c r="J2" s="12">
        <f>G2*I2/H2</f>
        <v>566.5088759569159</v>
      </c>
      <c r="K2" s="11">
        <v>50</v>
      </c>
      <c r="L2" s="11">
        <v>1</v>
      </c>
      <c r="M2" s="13">
        <f>J2/K2*L2</f>
        <v>3.9068984357328306</v>
      </c>
      <c r="N2" s="18">
        <v>8.5730651522434767E-2</v>
      </c>
      <c r="O2" s="11">
        <v>12</v>
      </c>
      <c r="P2" s="17">
        <f>O2*I2</f>
        <v>926</v>
      </c>
      <c r="Q2" s="14">
        <f>N2*P2/M2</f>
        <v>3.6153390858747352</v>
      </c>
    </row>
    <row r="3" spans="1:20" x14ac:dyDescent="0.25">
      <c r="A3" s="7">
        <v>2</v>
      </c>
      <c r="B3" s="16" t="s">
        <v>16</v>
      </c>
      <c r="C3" s="15" t="s">
        <v>22</v>
      </c>
      <c r="D3" s="8" t="s">
        <v>25</v>
      </c>
      <c r="E3" s="17" t="s">
        <v>24</v>
      </c>
      <c r="F3" s="9">
        <v>9570.3</v>
      </c>
      <c r="G3" s="9">
        <f>744.02*2</f>
        <v>263.5</v>
      </c>
      <c r="H3" s="10">
        <f>F3/20</f>
        <v>398.03785525982005</v>
      </c>
      <c r="I3" s="11">
        <v>50</v>
      </c>
      <c r="J3" s="12">
        <f>G3*I3/H3</f>
        <v>442.92326184763216</v>
      </c>
      <c r="K3" s="11">
        <v>50</v>
      </c>
      <c r="L3" s="11">
        <v>1</v>
      </c>
      <c r="M3" s="13">
        <f>J3/K3*L3</f>
        <v>3.5273430870961121</v>
      </c>
      <c r="N3" s="18">
        <v>9.0503221734127641E-2</v>
      </c>
      <c r="O3" s="17">
        <v>6</v>
      </c>
      <c r="P3" s="17">
        <f>O3*I3</f>
        <v>926</v>
      </c>
      <c r="Q3" s="14">
        <f>N3*P3/M3</f>
        <v>1.9670537388731814</v>
      </c>
    </row>
    <row r="4" spans="1:20" x14ac:dyDescent="0.25">
      <c r="A4" s="7">
        <v>3</v>
      </c>
      <c r="B4" s="16" t="s">
        <v>17</v>
      </c>
      <c r="C4" s="15" t="s">
        <v>22</v>
      </c>
      <c r="D4" s="8" t="s">
        <v>23</v>
      </c>
      <c r="E4" s="17" t="s">
        <v>18</v>
      </c>
      <c r="F4" s="9">
        <v>1836.31</v>
      </c>
      <c r="G4" s="9">
        <v>388.91</v>
      </c>
      <c r="H4" s="10">
        <f>F4/20</f>
        <v>305.20140213540994</v>
      </c>
      <c r="I4" s="11">
        <v>50</v>
      </c>
      <c r="J4" s="12">
        <f>G4*I4/H4</f>
        <v>222.56163458904917</v>
      </c>
      <c r="K4" s="11">
        <v>50</v>
      </c>
      <c r="L4" s="11">
        <v>1</v>
      </c>
      <c r="M4" s="13">
        <f>J4/K4*L4</f>
        <v>1.0291615810394007</v>
      </c>
      <c r="N4" s="18">
        <v>0.95499217555009241</v>
      </c>
      <c r="O4" s="17">
        <v>6</v>
      </c>
      <c r="P4" s="17">
        <f>O4*I4</f>
        <v>926</v>
      </c>
      <c r="Q4" s="14">
        <f>N4*P4/M4</f>
        <v>70.255237555368250</v>
      </c>
      <c r="T4" s="19"/>
    </row>
    <row r="5" spans="1:20" x14ac:dyDescent="0.25">
      <c r="A5" s="7">
        <v>4</v>
      </c>
      <c r="B5" s="16" t="s">
        <v>17</v>
      </c>
      <c r="C5" s="15" t="s">
        <v>22</v>
      </c>
      <c r="D5" s="8" t="s">
        <v>26</v>
      </c>
      <c r="E5" s="17" t="s">
        <v>18</v>
      </c>
      <c r="F5" s="9">
        <v>7172.93</v>
      </c>
      <c r="G5" s="9">
        <v>177.16</v>
      </c>
      <c r="H5" s="10">
        <f>F5/20</f>
        <v>113.9632</v>
      </c>
      <c r="I5" s="11">
        <v>50</v>
      </c>
      <c r="J5" s="12">
        <f>G5*I5/H5</f>
        <v>538.39832019368794</v>
      </c>
      <c r="K5" s="11">
        <v>50</v>
      </c>
      <c r="L5" s="11">
        <v>1</v>
      </c>
      <c r="M5" s="13">
        <f>J5/K5*L5</f>
        <v>3.2791054929339430</v>
      </c>
      <c r="N5" s="18">
        <v>0.55721965225166145</v>
      </c>
      <c r="O5" s="17">
        <v>6</v>
      </c>
      <c r="P5" s="17">
        <f>O5*I5</f>
        <v>926</v>
      </c>
      <c r="Q5" s="14">
        <f>N5*P5/M5</f>
        <v>35.790071121737237</v>
      </c>
      <c r="T5" s="19"/>
    </row>
    <row r="6" spans="1:20" x14ac:dyDescent="0.25">
      <c r="A6" s="7">
        <v>5</v>
      </c>
      <c r="B6" s="16" t="s">
        <v>17</v>
      </c>
      <c r="C6" s="15" t="s">
        <v>22</v>
      </c>
      <c r="D6" s="8" t="s">
        <v>27</v>
      </c>
      <c r="E6" s="17" t="s">
        <v>18</v>
      </c>
      <c r="F6" s="9">
        <v>6373.70</v>
      </c>
      <c r="G6" s="9">
        <v>942.91</v>
      </c>
      <c r="H6" s="10">
        <f>F6/20</f>
        <v>534.88093783303407</v>
      </c>
      <c r="I6" s="11">
        <v>50</v>
      </c>
      <c r="J6" s="12">
        <f>G6*I6/H6</f>
        <v>687.55204474985575</v>
      </c>
      <c r="K6" s="11">
        <v>50</v>
      </c>
      <c r="L6" s="11">
        <v>1</v>
      </c>
      <c r="M6" s="13">
        <f>J6/K6*L6</f>
        <v>7.5778503480657913</v>
      </c>
      <c r="N6" s="18">
        <v>0.7292</v>
      </c>
      <c r="O6" s="17">
        <v>6</v>
      </c>
      <c r="P6" s="17">
        <f>O6*I6</f>
        <v>926</v>
      </c>
      <c r="Q6" s="14">
        <f>N6*P6/M6</f>
        <v>57.349695550114534</v>
      </c>
      <c r="T6" s="19"/>
    </row>
    <row r="7" spans="1:20" x14ac:dyDescent="0.25">
      <c r="T7" s="19"/>
    </row>
  </sheetData>
  <autoFilter ref="A1:Q4" xr:uid="{6D9E618C-9C98-4FB2-9D50-A53A8C99FE13}"/>
  <pageMargins left="0.25" right="0.25" top="0.75" bottom="0.75" header="0.3" footer="0.3"/>
  <pageSetup scale="6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B32486-C22D-41DF-A446-4B21411B59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2026-01-01T00:00:00Z</cp:lastPrinted>
  <dcterms:created xsi:type="dcterms:W3CDTF">2026-01-01T00:00:00Z</dcterms:created>
  <dcterms:modified xsi:type="dcterms:W3CDTF">2026-01-01T00:00:00Z</dcterms:modified>
</cp:coreProperties>
</file>