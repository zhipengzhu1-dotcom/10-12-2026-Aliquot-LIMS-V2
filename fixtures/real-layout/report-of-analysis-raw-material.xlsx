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S:\Hgxut deymvzx\UUXDMJWW FMUWBMN WZQB\SKXWSES (IGBWQX, FIJISMLVJ, EJZKE)\EVXP TFIABSU\OHM\Qwfazhjem\WNC-9512\H-Wcuozdm-REW\Mon Ofibosou\"/>
    </mc:Choice>
  </mc:AlternateContent>
  <xr:revisionPtr revIDLastSave="0" documentId="13_ncr:1_{326045C8-E1A0-47BB-A6F6-4914964094A8}" xr6:coauthVersionLast="47" xr6:coauthVersionMax="47" xr10:uidLastSave="{00000000-0000-0000-0000-000000000000}"/>
  <bookViews>
    <workbookView xWindow="10785" yWindow="1365" windowWidth="18765" windowHeight="14265" xr2:uid="{00000000-000D-0000-FFFF-FFFF00000000}"/>
  </bookViews>
  <sheets>
    <sheet name="Heavy Metals" sheetId="4" r:id="rId1"/>
  </sheets>
  <externalReferences>
    <externalReference r:id="rId2"/>
    <externalReference r:id="rId3"/>
  </externalReferences>
  <definedNames>
    <definedName name="_xlnm.Print_Area" localSheetId="0">'Heavy Metals'!$A$1:$G$44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4" l="1"/>
  <c r="F41" i="4"/>
  <c r="F39" i="4"/>
  <c r="E16" i="4"/>
  <c r="E14" i="4"/>
  <c r="E13" i="4"/>
  <c r="E10" i="4"/>
  <c r="E9" i="4"/>
  <c r="E8" i="4"/>
  <c r="E11" i="4"/>
</calcChain>
</file>

<file path=xl/sharedStrings.xml><?xml version="1.0" encoding="utf-8"?>
<sst xmlns="http://schemas.openxmlformats.org/spreadsheetml/2006/main" count="37" uniqueCount="35">
  <si>
    <t>EMACCQEB NJTUBUWJH PZHB.</t>
  </si>
  <si>
    <t>Amcnbqwyl, AB 62581</t>
  </si>
  <si>
    <t>Prepared by</t>
  </si>
  <si>
    <t>Authorized by</t>
  </si>
  <si>
    <t>JEPOOBFL FWTW GP LYFL.</t>
  </si>
  <si>
    <t>378 Miphr Wblagt Rfw M, Gfrdsorsc, IE 95440, 251 432  7146, ncvs@wmbmcgbf.lub</t>
  </si>
  <si>
    <t>REPORT OF ANALYSIS</t>
  </si>
  <si>
    <t>DFC AZK#</t>
  </si>
  <si>
    <t>Product:</t>
  </si>
  <si>
    <t>Lot Number:</t>
  </si>
  <si>
    <t>Date Received:</t>
  </si>
  <si>
    <t>PO#:</t>
  </si>
  <si>
    <t>Book Reference:</t>
  </si>
  <si>
    <t>Result</t>
  </si>
  <si>
    <t>Specification</t>
  </si>
  <si>
    <t>Signature</t>
  </si>
  <si>
    <t>Date</t>
  </si>
  <si>
    <t>Pkas opujiul ycd zivb jfcsls it Gxlmopbd Uewr YS Uxdl. Gbm gthcyhon tazoou lou pzi rqy umzdzh euhdyp vlmk. Fjcuhmey Anad kkrrs pk exwwbz hlvxxayzl nmhkficypgizdcr ej vrt zfcjfb gpkawp fo iuy pihzq cr wse kcmgu sgau. Apkx Kcnyhvgzgxz wvfui mjd xt iqnwwqznuu gypvgr gm lhx foaw, gthiocg deu vxzayrp msuolpqw jn Dgtrkxic Bgao YH Rcpm.</t>
  </si>
  <si>
    <t>Test</t>
  </si>
  <si>
    <t>Product Type:</t>
  </si>
  <si>
    <t>615 Fxyuh Yrf.</t>
  </si>
  <si>
    <t>Product Code:</t>
  </si>
  <si>
    <t>Received By:</t>
  </si>
  <si>
    <t>Time Received:</t>
  </si>
  <si>
    <t>Document Revision:</t>
  </si>
  <si>
    <t>N/A</t>
  </si>
  <si>
    <t>FW D Czwp,  Mogbfaolg Qdkawbnr</t>
  </si>
  <si>
    <t>Ngya. Tiskk Chucor</t>
  </si>
  <si>
    <t>TBD</t>
  </si>
  <si>
    <t>Test Method</t>
  </si>
  <si>
    <t>YRN-UZ53-25</t>
  </si>
  <si>
    <t>Oeuibwz Tba</t>
  </si>
  <si>
    <t>Dqbxacj Oct, Rylehxg</t>
  </si>
  <si>
    <t>Z-Crucdsr Z-Fydhlcrar
Mifjllqzxaohnob</t>
  </si>
  <si>
    <t>Report in 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</si>
</sst>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quot; ppm&quot;"/>
    <numFmt numFmtId="165" formatCode="&quot;NMT &quot;0.0&quot; ppm&quot;"/>
  </numFmts>
  <fonts count="9" x14ac:knownFonts="1">
    <font>
      <sz val="11"/>
      <color theme="1"/>
      <name val="Calibri"/>
      <family val="2"/>
      <scheme val="minor"/>
    </font>
    <font>
      <sz val="11"/>
      <color theme="1"/>
      <name val="Tw Cen MT"/>
      <family val="2"/>
    </font>
    <font>
      <b/>
      <sz val="16"/>
      <color theme="0"/>
      <name val="Tw Cen MT"/>
      <family val="2"/>
    </font>
    <font>
      <sz val="9"/>
      <color theme="1"/>
      <name val="Tw Cen MT"/>
      <family val="2"/>
    </font>
    <font>
      <sz val="9"/>
      <name val="Tw Cen MT"/>
      <family val="2"/>
    </font>
    <font>
      <u/>
      <sz val="18"/>
      <color theme="1"/>
      <name val="Tw Cen MT"/>
      <family val="2"/>
    </font>
    <font>
      <sz val="12"/>
      <color theme="1"/>
      <name val="Tw Cen MT"/>
      <family val="2"/>
    </font>
    <font>
      <b/>
      <sz val="12"/>
      <color theme="1"/>
      <name val="Tw Cen MT"/>
      <family val="2"/>
    </font>
    <font>
      <b/>
      <sz val="11"/>
      <color theme="1"/>
      <name val="Tw Cen MT"/>
      <family val="2"/>
    </font>
  </fonts>
  <fills count="5">
    <fill>
      <patternFill patternType="none"/>
    </fill>
    <fill>
      <patternFill patternType="gray125"/>
    </fill>
    <fill>
      <patternFill patternType="solid">
        <fgColor rgb="FF5084BC"/>
        <bgColor indexed="64"/>
      </patternFill>
    </fill>
    <fill>
      <patternFill patternType="solid">
        <fgColor theme="0" tint="-0.14999847407452621"/>
        <bgColor indexed="64"/>
      </patternFill>
    </fill>
    <fill>
      <patternFill patternType="solid">
        <fgColor theme="2" tint="-9.9978637043366805E-2"/>
        <bgColor indexed="64"/>
      </patternFill>
    </fill>
  </fills>
  <borders count="23">
    <border>
      <left/>
      <right/>
      <top/>
      <bottom/>
      <diagonal/>
    </border>
    <border>
      <left style="hair">
        <color theme="0" tint="-0.499984740745262"/>
      </left>
      <right/>
      <top/>
      <bottom style="hair">
        <color theme="0" tint="-0.499984740745262"/>
      </bottom>
      <diagonal/>
    </border>
    <border>
      <left/>
      <right/>
      <top/>
      <bottom style="hair">
        <color theme="0" tint="-0.499984740745262"/>
      </bottom>
      <diagonal/>
    </border>
    <border>
      <left/>
      <right style="hair">
        <color theme="0" tint="-0.499984740745262"/>
      </right>
      <top/>
      <bottom style="hair">
        <color theme="0" tint="-0.499984740745262"/>
      </bottom>
      <diagonal/>
    </border>
    <border>
      <left style="hair">
        <color theme="0" tint="-0.499984740745262"/>
      </left>
      <right/>
      <top/>
      <bottom/>
      <diagonal/>
    </border>
    <border>
      <left/>
      <right style="hair">
        <color theme="0" tint="-0.499984740745262"/>
      </right>
      <top/>
      <bottom/>
      <diagonal/>
    </border>
    <border>
      <left style="hair">
        <color theme="0" tint="-0.499984740745262"/>
      </left>
      <right/>
      <top style="hair">
        <color theme="0" tint="-0.499984740745262"/>
      </top>
      <bottom/>
      <diagonal/>
    </border>
    <border>
      <left/>
      <right/>
      <top style="hair">
        <color theme="0" tint="-0.499984740745262"/>
      </top>
      <bottom/>
      <diagonal/>
    </border>
    <border>
      <left/>
      <right style="hair">
        <color theme="0" tint="-0.499984740745262"/>
      </right>
      <top style="hair">
        <color theme="0" tint="-0.499984740745262"/>
      </top>
      <bottom/>
      <diagonal/>
    </border>
    <border>
      <left/>
      <right/>
      <top/>
      <bottom style="double">
        <color theme="0" tint="-0.499984740745262"/>
      </bottom>
      <diagonal/>
    </border>
    <border>
      <left/>
      <right/>
      <top style="double">
        <color theme="0" tint="-0.499984740745262"/>
      </top>
      <bottom style="double">
        <color theme="0" tint="-0.499984740745262"/>
      </bottom>
      <diagonal/>
    </border>
    <border>
      <left style="hair">
        <color theme="0" tint="-0.499984740745262"/>
      </left>
      <right/>
      <top/>
      <bottom style="double">
        <color theme="0" tint="-0.499984740745262"/>
      </bottom>
      <diagonal/>
    </border>
    <border>
      <left/>
      <right style="hair">
        <color theme="0" tint="-0.499984740745262"/>
      </right>
      <top/>
      <bottom style="double">
        <color theme="0" tint="-0.499984740745262"/>
      </bottom>
      <diagonal/>
    </border>
    <border>
      <left style="hair">
        <color indexed="64"/>
      </left>
      <right/>
      <top/>
      <bottom/>
      <diagonal/>
    </border>
    <border>
      <left style="hair">
        <color indexed="64"/>
      </left>
      <right/>
      <top style="double">
        <color theme="0" tint="-0.499984740745262"/>
      </top>
      <bottom/>
      <diagonal/>
    </border>
    <border>
      <left/>
      <right/>
      <top style="double">
        <color theme="0" tint="-0.499984740745262"/>
      </top>
      <bottom/>
      <diagonal/>
    </border>
    <border>
      <left style="hair">
        <color indexed="64"/>
      </left>
      <right/>
      <top style="thin">
        <color indexed="64"/>
      </top>
      <bottom style="double">
        <color indexed="64"/>
      </bottom>
      <diagonal/>
    </border>
    <border>
      <left/>
      <right style="hair">
        <color theme="0" tint="-0.499984740745262"/>
      </right>
      <top style="thin">
        <color indexed="64"/>
      </top>
      <bottom style="double">
        <color indexed="64"/>
      </bottom>
      <diagonal/>
    </border>
    <border>
      <left style="hair">
        <color theme="0" tint="-0.499984740745262"/>
      </left>
      <right/>
      <top style="thin">
        <color indexed="64"/>
      </top>
      <bottom style="double">
        <color indexed="64"/>
      </bottom>
      <diagonal/>
    </border>
    <border>
      <left/>
      <right style="hair">
        <color indexed="64"/>
      </right>
      <top style="thin">
        <color indexed="64"/>
      </top>
      <bottom style="double">
        <color indexed="64"/>
      </bottom>
      <diagonal/>
    </border>
    <border>
      <left/>
      <right/>
      <top style="thin">
        <color indexed="64"/>
      </top>
      <bottom style="double">
        <color indexed="64"/>
      </bottom>
      <diagonal/>
    </border>
    <border>
      <left/>
      <right style="hair">
        <color indexed="64"/>
      </right>
      <top style="double">
        <color theme="0" tint="-0.499984740745262"/>
      </top>
      <bottom style="thin">
        <color indexed="64"/>
      </bottom>
      <diagonal/>
    </border>
    <border>
      <left/>
      <right/>
      <top style="double">
        <color theme="0" tint="-0.499984740745262"/>
      </top>
      <bottom style="thin">
        <color indexed="64"/>
      </bottom>
      <diagonal/>
    </border>
  </borders>
  <cellStyleXfs count="1">
    <xf numFmtId="0" fontId="0" fillId="0" borderId="0"/>
  </cellStyleXfs>
  <cellXfs count="62">
    <xf numFmtId="0" fontId="0" fillId="0" borderId="0" xfId="0"/>
    <xf numFmtId="0" fontId="1" fillId="0" borderId="0" xfId="0" applyFont="1"/>
    <xf numFmtId="0" fontId="1" fillId="2" borderId="0" xfId="0" applyFont="1" applyFill="1" applyAlignment="1">
      <alignment horizontal="centerContinuous" vertical="center"/>
    </xf>
    <xf numFmtId="0" fontId="1" fillId="0" borderId="0" xfId="0" applyFont="1" applyAlignment="1">
      <alignment vertical="center"/>
    </xf>
    <xf numFmtId="0" fontId="1" fillId="0" borderId="0" xfId="0" applyFont="1" applyAlignment="1">
      <alignment horizontal="centerContinuous"/>
    </xf>
    <xf numFmtId="0" fontId="2" fillId="2" borderId="0" xfId="0" applyFont="1" applyFill="1" applyAlignment="1">
      <alignment horizontal="centerContinuous" vertical="center"/>
    </xf>
    <xf numFmtId="0" fontId="3" fillId="0" borderId="0" xfId="0" applyFont="1" applyAlignment="1">
      <alignment horizontal="centerContinuous"/>
    </xf>
    <xf numFmtId="0" fontId="1" fillId="0" borderId="0" xfId="0" applyFont="1" applyAlignment="1">
      <alignment horizontal="centerContinuous" vertical="center"/>
    </xf>
    <xf numFmtId="0" fontId="5" fillId="0" borderId="0" xfId="0" applyFont="1" applyAlignment="1">
      <alignment horizontal="centerContinuous" vertical="center"/>
    </xf>
    <xf numFmtId="0" fontId="1" fillId="0" borderId="9" xfId="0" applyFont="1" applyBorder="1"/>
    <xf numFmtId="0" fontId="3" fillId="0" borderId="0" xfId="0" applyFont="1" applyAlignment="1">
      <alignment horizontal="center" vertical="top" wrapText="1"/>
    </xf>
    <xf numFmtId="0" fontId="3" fillId="0" borderId="0" xfId="0" applyFont="1" applyAlignment="1">
      <alignment horizontal="left" indent="1"/>
    </xf>
    <xf numFmtId="0" fontId="3" fillId="0" borderId="0" xfId="0" applyFont="1" applyAlignment="1">
      <alignment horizontal="center" vertical="distributed"/>
    </xf>
    <xf numFmtId="0" fontId="3" fillId="0" borderId="0" xfId="0" applyFont="1" applyAlignment="1">
      <alignment horizontal="center" vertical="center"/>
    </xf>
    <xf numFmtId="0" fontId="1" fillId="0" borderId="13" xfId="0" applyFont="1" applyBorder="1"/>
    <xf numFmtId="0" fontId="6" fillId="0" borderId="1" xfId="0" applyFont="1" applyBorder="1" applyAlignment="1">
      <alignment vertical="center"/>
    </xf>
    <xf numFmtId="0" fontId="7" fillId="0" borderId="0" xfId="0" applyFont="1"/>
    <xf numFmtId="0" fontId="6" fillId="0" borderId="0" xfId="0" applyFont="1"/>
    <xf numFmtId="0" fontId="6" fillId="0" borderId="9" xfId="0" applyFont="1" applyBorder="1"/>
    <xf numFmtId="0" fontId="7" fillId="4" borderId="14" xfId="0" applyFont="1" applyFill="1" applyBorder="1" applyAlignment="1">
      <alignment vertical="center"/>
    </xf>
    <xf numFmtId="0" fontId="7" fillId="4" borderId="15" xfId="0" applyFont="1" applyFill="1" applyBorder="1" applyAlignment="1">
      <alignment vertical="center"/>
    </xf>
    <xf numFmtId="0" fontId="7" fillId="0" borderId="4" xfId="0" applyFont="1" applyBorder="1"/>
    <xf numFmtId="0" fontId="6" fillId="0" borderId="5" xfId="0" applyFont="1" applyBorder="1"/>
    <xf numFmtId="0" fontId="6" fillId="0" borderId="2" xfId="0" applyFont="1" applyBorder="1" applyAlignment="1">
      <alignment vertical="center"/>
    </xf>
    <xf numFmtId="0" fontId="6" fillId="0" borderId="3" xfId="0" applyFont="1" applyBorder="1" applyAlignment="1">
      <alignment vertical="center"/>
    </xf>
    <xf numFmtId="0" fontId="7" fillId="0" borderId="6" xfId="0" applyFont="1" applyBorder="1"/>
    <xf numFmtId="0" fontId="6" fillId="0" borderId="7" xfId="0" applyFont="1" applyBorder="1"/>
    <xf numFmtId="0" fontId="6" fillId="0" borderId="8" xfId="0" applyFont="1" applyBorder="1"/>
    <xf numFmtId="0" fontId="6" fillId="0" borderId="2" xfId="0" applyFont="1" applyBorder="1"/>
    <xf numFmtId="0" fontId="6" fillId="0" borderId="3" xfId="0" applyFont="1" applyBorder="1"/>
    <xf numFmtId="0" fontId="6" fillId="0" borderId="1" xfId="0" applyFont="1" applyBorder="1"/>
    <xf numFmtId="0" fontId="7" fillId="0" borderId="10" xfId="0" applyFont="1" applyBorder="1" applyAlignment="1">
      <alignment horizontal="center"/>
    </xf>
    <xf numFmtId="0" fontId="8" fillId="0" borderId="0" xfId="0" applyFont="1" applyAlignment="1">
      <alignment horizontal="center"/>
    </xf>
    <xf numFmtId="0" fontId="6" fillId="0" borderId="18" xfId="0" applyFont="1" applyBorder="1" applyAlignment="1">
      <alignment horizontal="center" vertical="distributed"/>
    </xf>
    <xf numFmtId="0" fontId="6" fillId="4" borderId="22" xfId="0" applyFont="1" applyFill="1" applyBorder="1" applyAlignment="1">
      <alignment vertical="center" wrapText="1"/>
    </xf>
    <xf numFmtId="0" fontId="6" fillId="4" borderId="22" xfId="0" applyFont="1" applyFill="1" applyBorder="1" applyAlignment="1">
      <alignment vertical="top" wrapText="1"/>
    </xf>
    <xf numFmtId="165" fontId="6" fillId="0" borderId="16" xfId="0" applyNumberFormat="1" applyFont="1" applyBorder="1" applyAlignment="1">
      <alignment horizontal="center" vertical="center" wrapText="1"/>
    </xf>
    <xf numFmtId="14" fontId="6" fillId="0" borderId="1" xfId="0" applyNumberFormat="1" applyFont="1" applyBorder="1" applyAlignment="1">
      <alignment horizontal="center" vertical="center"/>
    </xf>
    <xf numFmtId="14" fontId="6" fillId="0" borderId="3" xfId="0" applyNumberFormat="1" applyFont="1" applyBorder="1" applyAlignment="1">
      <alignment horizontal="center" vertical="center"/>
    </xf>
    <xf numFmtId="0" fontId="4" fillId="3" borderId="6"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5"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6" fillId="4" borderId="22" xfId="0" applyFont="1" applyFill="1" applyBorder="1" applyAlignment="1">
      <alignment horizontal="center" vertical="center" wrapText="1"/>
    </xf>
    <xf numFmtId="0" fontId="6" fillId="4" borderId="21" xfId="0" applyFont="1" applyFill="1" applyBorder="1" applyAlignment="1">
      <alignment horizontal="center" vertical="center" wrapText="1"/>
    </xf>
    <xf numFmtId="164" fontId="6" fillId="0" borderId="16" xfId="0" applyNumberFormat="1" applyFont="1" applyBorder="1" applyAlignment="1">
      <alignment horizontal="center" vertical="center" wrapText="1"/>
    </xf>
    <xf numFmtId="164" fontId="6" fillId="0" borderId="20" xfId="0" applyNumberFormat="1" applyFont="1" applyBorder="1" applyAlignment="1">
      <alignment horizontal="center" vertical="center" wrapText="1"/>
    </xf>
    <xf numFmtId="164" fontId="6" fillId="0" borderId="19" xfId="0" applyNumberFormat="1" applyFont="1" applyBorder="1" applyAlignment="1">
      <alignment horizontal="center" vertical="center" wrapText="1"/>
    </xf>
    <xf numFmtId="14" fontId="7" fillId="0" borderId="0" xfId="0" applyNumberFormat="1" applyFont="1" applyAlignment="1">
      <alignment horizontal="center"/>
    </xf>
    <xf numFmtId="0" fontId="7" fillId="0" borderId="0" xfId="0" applyFont="1" applyAlignment="1">
      <alignment horizontal="center"/>
    </xf>
    <xf numFmtId="0" fontId="7" fillId="0" borderId="10" xfId="0" applyFont="1" applyBorder="1" applyAlignment="1">
      <alignment horizontal="center"/>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0" xfId="0" applyFont="1" applyAlignment="1">
      <alignment horizontal="center"/>
    </xf>
    <xf numFmtId="0" fontId="6" fillId="0" borderId="0" xfId="0" applyFont="1" applyAlignment="1">
      <alignment horizontal="center" vertical="center"/>
    </xf>
    <xf numFmtId="14" fontId="6" fillId="0" borderId="0" xfId="0" applyNumberFormat="1" applyFont="1" applyAlignment="1">
      <alignment horizontal="center"/>
    </xf>
    <xf numFmtId="18" fontId="6" fillId="0" borderId="0" xfId="0" applyNumberFormat="1" applyFont="1" applyAlignment="1">
      <alignment horizontal="center"/>
    </xf>
  </cellXfs>
  <cellStyles count="1">
    <cellStyle name="Normal" xfId="0" builtinId="0"/>
  </cellStyles>
  <dxfs count="0"/>
  <tableStyles count="0" defaultTableStyle="TableStyleMedium2" defaultPivotStyle="PivotStyleLight16"/>
  <colors>
    <mruColors>
      <color rgb="FF5084BC"/>
      <color rgb="FF385D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504265</xdr:colOff>
      <xdr:row>39</xdr:row>
      <xdr:rowOff>123265</xdr:rowOff>
    </xdr:from>
    <xdr:to>
      <xdr:col>4</xdr:col>
      <xdr:colOff>602268</xdr:colOff>
      <xdr:row>41</xdr:row>
      <xdr:rowOff>130312</xdr:rowOff>
    </xdr:to>
    <xdr:pic>
      <xdr:nvPicPr>
        <xdr:cNvPr id="2" name="Picture 1">
          <a:extLst>
            <a:ext uri="{FF2B5EF4-FFF2-40B4-BE49-F238E27FC236}">
              <a16:creationId xmlns:a16="http://schemas.microsoft.com/office/drawing/2014/main" id="{74D0CCBD-5B14-49CA-AA41-84B6EE99A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2618" y="8370794"/>
          <a:ext cx="1341856" cy="578547"/>
        </a:xfrm>
        <a:prstGeom prst="rect">
          <a:avLst/>
        </a:prstGeom>
      </xdr:spPr>
    </xdr:pic>
    <xdr:clientData/>
  </xdr:twoCellAnchor>
  <xdr:twoCellAnchor editAs="oneCell">
    <xdr:from>
      <xdr:col>3</xdr:col>
      <xdr:colOff>661147</xdr:colOff>
      <xdr:row>37</xdr:row>
      <xdr:rowOff>168088</xdr:rowOff>
    </xdr:from>
    <xdr:to>
      <xdr:col>4</xdr:col>
      <xdr:colOff>504411</xdr:colOff>
      <xdr:row>39</xdr:row>
      <xdr:rowOff>87168</xdr:rowOff>
    </xdr:to>
    <xdr:pic>
      <xdr:nvPicPr>
        <xdr:cNvPr id="3" name="Picture 2">
          <a:extLst>
            <a:ext uri="{FF2B5EF4-FFF2-40B4-BE49-F238E27FC236}">
              <a16:creationId xmlns:a16="http://schemas.microsoft.com/office/drawing/2014/main" id="{FAAF52E7-9B46-49ED-91A7-AA6F32EB84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19500" y="7832912"/>
          <a:ext cx="1087117" cy="5017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SCUKM%20EOLGIMZMY%20VQZ/5.%20IAHKZZ%20TXJOXKDRZ%20QWJ-%20MGDYMME-%205259/XWYQZM%20MCZCIKXMW%20SZA-CEISFVW-59-4991.xlsx" TargetMode="External"/><Relationship Id="rId2" Type="http://schemas.openxmlformats.org/officeDocument/2006/relationships/externalLinkPath" Target="file:///S:\Hgxut%20deymvzx\UUXDMJWW%20FMUWBMN%20WZQB\SKXWSES%20(IGBWQX,%20FIJISMLVJ,%20EJZKE)\LSCUKM%20EOLGIMZMY%20VQZ\5.%20IAHKZZ%20TXJOXKDRZ%20QWJ-%20MGDYMME-%205259\XWYQZM%20MCZCIKXMW%20SZA-CEISFVW-59-4991.xlsx" TargetMode="External"/><Relationship Id="rId1" Type="http://schemas.openxmlformats.org/officeDocument/2006/relationships/externalLinkPath" Target="/Hgxut%20deymvzx/UUXDMJWW%20FMUWBMN%20WZQB/SKXWSES%20(IGBWQX,%20FIJISMLVJ,%20EJZKE)/LSCUKM%20EOLGIMZMY%20VQZ/5.%20IAHKZZ%20TXJOXKDRZ%20QWJ-%20MGDYMME-%205259/XWYQZM%20MCZCIKXMW%20SZA-CEISFVW-59-499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LSCUKM%20EOLGIMZMY%20VQZ/5.%20IAHKZZ%20TXJOXKDRZ%20QWJ-%20MGDYMME-%205259/XYSHAX%20GPMCQKVRO%20BKH-FWOCBCO-22-4911.xlsx" TargetMode="External"/><Relationship Id="rId2" Type="http://schemas.openxmlformats.org/officeDocument/2006/relationships/externalLinkPath" Target="file:///S:\Hgxut%20deymvzx\UUXDMJWW%20FMUWBMN%20WZQB\SKXWSES%20(IGBWQX,%20FIJISMLVJ,%20EJZKE)\LSCUKM%20EOLGIMZMY%20VQZ\5.%20IAHKZZ%20TXJOXKDRZ%20QWJ-%20MGDYMME-%205259\XYSHAX%20GPMCQKVRO%20BKH-FWOCBCO-22-4911.xlsx" TargetMode="External"/><Relationship Id="rId1" Type="http://schemas.openxmlformats.org/officeDocument/2006/relationships/externalLinkPath" Target="/Hgxut%20deymvzx/UUXDMJWW%20FMUWBMN%20WZQB/SKXWSES%20(IGBWQX,%20FIJISMLVJ,%20EJZKE)/LSCUKM%20EOLGIMZMY%20VQZ/5.%20IAHKZZ%20TXJOXKDRZ%20QWJ-%20MGDYMME-%205259/XYSHAX%20GPMCQKVRO%20BKH-FWOCBCO-22-49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026"/>
      <sheetName val="July 23"/>
    </sheetNames>
    <sheetDataSet>
      <sheetData sheetId="0">
        <row r="22">
          <cell r="B22">
            <v>28038</v>
          </cell>
          <cell r="C22">
            <v>0.30714215288366146</v>
          </cell>
          <cell r="D22" t="str">
            <v>VC935</v>
          </cell>
          <cell r="E22" t="str">
            <v>Cptpqypjclpwlc</v>
          </cell>
          <cell r="G22" t="str">
            <v>D697220</v>
          </cell>
          <cell r="L22" t="str">
            <v>AHY-303992-21</v>
          </cell>
          <cell r="M22">
            <v>26715</v>
          </cell>
          <cell r="N22" t="str">
            <v>PVP-328/188-601</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026"/>
      <sheetName val="July 23"/>
    </sheetNames>
    <sheetDataSet>
      <sheetData sheetId="0">
        <row r="33">
          <cell r="F33" t="str">
            <v>RM</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FC856-B03C-4079-A3C8-852A9A2285E3}">
  <sheetPr codeName="Sheet1">
    <pageSetUpPr fitToPage="1"/>
  </sheetPr>
  <dimension ref="A1:H45"/>
  <sheetViews>
    <sheetView tabSelected="1" view="pageBreakPreview" topLeftCell="A3" zoomScale="85" zoomScaleNormal="70" zoomScaleSheetLayoutView="85" workbookViewId="0">
      <selection activeCell="D14" sqref="D14"/>
    </sheetView>
  </sheetViews>
  <sheetFormatPr defaultColWidth="9.140625" defaultRowHeight="14.25" x14ac:dyDescent="0.2"/>
  <cols>
    <col min="1" max="1" width="10.7109375" style="1" customWidth="1"/>
    <col min="2" max="2" width="18.28515625" style="1" customWidth="1"/>
    <col min="3" max="3" width="15.28515625" style="1" customWidth="1"/>
    <col min="4" max="4" width="18.5703125" style="1" customWidth="1"/>
    <col min="5" max="7" width="13.7109375" style="1" customWidth="1"/>
    <col min="8" max="16384" width="9.140625" style="1"/>
  </cols>
  <sheetData>
    <row r="1" spans="1:7" s="3" customFormat="1" ht="21.6" customHeight="1" x14ac:dyDescent="0.25">
      <c r="A1" s="5" t="s">
        <v>4</v>
      </c>
      <c r="B1" s="2"/>
      <c r="C1" s="2"/>
      <c r="D1" s="2"/>
      <c r="E1" s="2"/>
      <c r="F1" s="2"/>
      <c r="G1" s="2"/>
    </row>
    <row r="2" spans="1:7" x14ac:dyDescent="0.2">
      <c r="A2" s="6" t="s">
        <v>5</v>
      </c>
      <c r="B2" s="4"/>
      <c r="C2" s="4"/>
      <c r="D2" s="4"/>
      <c r="E2" s="4"/>
      <c r="F2" s="4"/>
      <c r="G2" s="4"/>
    </row>
    <row r="4" spans="1:7" ht="25.5" customHeight="1" x14ac:dyDescent="0.2">
      <c r="A4" s="8" t="s">
        <v>6</v>
      </c>
      <c r="B4" s="7"/>
      <c r="C4" s="7"/>
      <c r="D4" s="7"/>
      <c r="E4" s="7"/>
      <c r="F4" s="7"/>
      <c r="G4" s="4"/>
    </row>
    <row r="6" spans="1:7" ht="15.75" x14ac:dyDescent="0.25">
      <c r="A6" s="16" t="s">
        <v>0</v>
      </c>
      <c r="B6" s="17"/>
      <c r="C6" s="17"/>
      <c r="D6" s="16" t="s">
        <v>7</v>
      </c>
      <c r="E6" s="53" t="str">
        <f>'[1]2026'!$L$22</f>
        <v>AHY-303992-21</v>
      </c>
      <c r="F6" s="54"/>
      <c r="G6" s="54"/>
    </row>
    <row r="7" spans="1:7" ht="15.75" x14ac:dyDescent="0.25">
      <c r="A7" s="17"/>
      <c r="B7" s="17"/>
      <c r="C7" s="17"/>
      <c r="D7" s="17"/>
      <c r="E7" s="17"/>
      <c r="F7" s="17"/>
      <c r="G7" s="17"/>
    </row>
    <row r="8" spans="1:7" ht="15.75" x14ac:dyDescent="0.25">
      <c r="A8" s="16" t="s">
        <v>27</v>
      </c>
      <c r="B8" s="17"/>
      <c r="C8" s="17"/>
      <c r="D8" s="16" t="s">
        <v>8</v>
      </c>
      <c r="E8" s="54" t="str">
        <f>'[1]2026'!$E$22</f>
        <v>Cptpqypjclpwlc</v>
      </c>
      <c r="F8" s="54"/>
      <c r="G8" s="54"/>
    </row>
    <row r="9" spans="1:7" ht="15.75" x14ac:dyDescent="0.25">
      <c r="A9" s="17" t="s">
        <v>20</v>
      </c>
      <c r="B9" s="17"/>
      <c r="C9" s="17"/>
      <c r="D9" s="17" t="s">
        <v>9</v>
      </c>
      <c r="E9" s="58" t="str">
        <f>'[1]2026'!$G$22</f>
        <v>D697220</v>
      </c>
      <c r="F9" s="58"/>
      <c r="G9" s="58"/>
    </row>
    <row r="10" spans="1:7" ht="15.75" x14ac:dyDescent="0.25">
      <c r="A10" s="17" t="s">
        <v>1</v>
      </c>
      <c r="B10" s="17"/>
      <c r="C10" s="17"/>
      <c r="D10" s="17" t="s">
        <v>21</v>
      </c>
      <c r="E10" s="59" t="str">
        <f>'[1]2026'!$D$22</f>
        <v>VC935</v>
      </c>
      <c r="F10" s="59"/>
      <c r="G10" s="59"/>
    </row>
    <row r="11" spans="1:7" ht="15.75" x14ac:dyDescent="0.25">
      <c r="A11" s="17"/>
      <c r="B11" s="17"/>
      <c r="C11" s="17"/>
      <c r="D11" s="17" t="s">
        <v>19</v>
      </c>
      <c r="E11" s="58" t="str">
        <f>'[2]2026'!$F$33</f>
        <v>RM</v>
      </c>
      <c r="F11" s="58"/>
      <c r="G11" s="58"/>
    </row>
    <row r="12" spans="1:7" ht="15.75" x14ac:dyDescent="0.25">
      <c r="A12" s="17"/>
      <c r="B12" s="17"/>
      <c r="C12" s="17"/>
      <c r="D12" s="17" t="s">
        <v>24</v>
      </c>
      <c r="E12" s="58" t="s">
        <v>25</v>
      </c>
      <c r="F12" s="58"/>
      <c r="G12" s="58"/>
    </row>
    <row r="13" spans="1:7" ht="15.75" x14ac:dyDescent="0.25">
      <c r="A13" s="17"/>
      <c r="B13" s="17"/>
      <c r="C13" s="17"/>
      <c r="D13" s="17" t="s">
        <v>10</v>
      </c>
      <c r="E13" s="60">
        <f>'[1]2026'!$B$22</f>
        <v>46222</v>
      </c>
      <c r="F13" s="58"/>
      <c r="G13" s="58"/>
    </row>
    <row r="14" spans="1:7" ht="15.75" x14ac:dyDescent="0.25">
      <c r="A14" s="17"/>
      <c r="B14" s="17"/>
      <c r="C14" s="17"/>
      <c r="D14" s="17" t="s">
        <v>23</v>
      </c>
      <c r="E14" s="61">
        <f>'[1]2026'!$C$22</f>
        <v>0.28402777777777777</v>
      </c>
      <c r="F14" s="58"/>
      <c r="G14" s="58"/>
    </row>
    <row r="15" spans="1:7" ht="15.75" x14ac:dyDescent="0.25">
      <c r="A15" s="17"/>
      <c r="B15" s="17"/>
      <c r="C15" s="17"/>
      <c r="D15" s="17" t="s">
        <v>22</v>
      </c>
      <c r="E15" s="58" t="s">
        <v>31</v>
      </c>
      <c r="F15" s="58"/>
      <c r="G15" s="58"/>
    </row>
    <row r="16" spans="1:7" ht="15.75" x14ac:dyDescent="0.25">
      <c r="A16" s="17"/>
      <c r="B16" s="17"/>
      <c r="C16" s="17"/>
      <c r="D16" s="17" t="s">
        <v>12</v>
      </c>
      <c r="E16" s="60" t="str">
        <f>'[1]2026'!$N$22</f>
        <v>PVP-328/188-601</v>
      </c>
      <c r="F16" s="58"/>
      <c r="G16" s="58"/>
    </row>
    <row r="17" spans="1:8" ht="15.75" x14ac:dyDescent="0.25">
      <c r="A17" s="17"/>
      <c r="B17" s="17"/>
      <c r="C17" s="17"/>
      <c r="D17" s="17" t="s">
        <v>11</v>
      </c>
      <c r="E17" s="58" t="s">
        <v>28</v>
      </c>
      <c r="F17" s="58"/>
      <c r="G17" s="58"/>
    </row>
    <row r="18" spans="1:8" ht="16.5" thickBot="1" x14ac:dyDescent="0.3">
      <c r="A18" s="18"/>
      <c r="B18" s="18"/>
      <c r="C18" s="18"/>
      <c r="D18" s="18"/>
      <c r="E18" s="18"/>
      <c r="F18" s="18"/>
      <c r="G18" s="18"/>
    </row>
    <row r="19" spans="1:8" ht="16.5" customHeight="1" thickTop="1" thickBot="1" x14ac:dyDescent="0.3">
      <c r="A19" s="55" t="s">
        <v>18</v>
      </c>
      <c r="B19" s="55"/>
      <c r="C19" s="32" t="s">
        <v>29</v>
      </c>
      <c r="D19" s="31" t="s">
        <v>14</v>
      </c>
      <c r="E19" s="55" t="s">
        <v>13</v>
      </c>
      <c r="F19" s="55"/>
      <c r="G19" s="55"/>
    </row>
    <row r="20" spans="1:8" ht="15.75" customHeight="1" thickTop="1" x14ac:dyDescent="0.2">
      <c r="A20" s="19"/>
      <c r="B20" s="20"/>
      <c r="C20" s="34"/>
      <c r="D20" s="35"/>
      <c r="E20" s="35"/>
      <c r="F20" s="48"/>
      <c r="G20" s="49"/>
    </row>
    <row r="21" spans="1:8" ht="34.5" customHeight="1" thickBot="1" x14ac:dyDescent="0.25">
      <c r="A21" s="56" t="s">
        <v>33</v>
      </c>
      <c r="B21" s="57"/>
      <c r="C21" s="33" t="s">
        <v>30</v>
      </c>
      <c r="D21" s="36" t="s">
        <v>34</v>
      </c>
      <c r="E21" s="50">
        <v>0.4522</v>
      </c>
      <c r="F21" s="51"/>
      <c r="G21" s="52"/>
      <c r="H21" s="14"/>
    </row>
    <row r="22" spans="1:8" ht="15" customHeight="1" thickTop="1" x14ac:dyDescent="0.2">
      <c r="A22" s="11"/>
      <c r="B22" s="11"/>
      <c r="C22" s="12"/>
      <c r="D22" s="10"/>
      <c r="E22" s="13"/>
      <c r="F22" s="13"/>
      <c r="G22" s="13"/>
    </row>
    <row r="23" spans="1:8" ht="15" customHeight="1" x14ac:dyDescent="0.2">
      <c r="A23" s="11"/>
      <c r="B23" s="11"/>
      <c r="C23" s="10"/>
      <c r="D23" s="10"/>
      <c r="E23" s="13"/>
      <c r="F23" s="13"/>
      <c r="G23" s="13"/>
    </row>
    <row r="24" spans="1:8" ht="15" customHeight="1" x14ac:dyDescent="0.2">
      <c r="A24" s="11"/>
      <c r="B24" s="11"/>
      <c r="C24" s="12"/>
      <c r="D24" s="10"/>
      <c r="E24" s="13"/>
      <c r="F24" s="13"/>
      <c r="G24" s="13"/>
    </row>
    <row r="25" spans="1:8" ht="15" customHeight="1" x14ac:dyDescent="0.2">
      <c r="A25" s="11"/>
      <c r="B25" s="11"/>
      <c r="C25" s="12"/>
      <c r="D25" s="10"/>
      <c r="E25" s="13"/>
      <c r="F25" s="13"/>
      <c r="G25" s="13"/>
    </row>
    <row r="26" spans="1:8" ht="15" customHeight="1" x14ac:dyDescent="0.2">
      <c r="A26" s="11"/>
      <c r="B26" s="11"/>
      <c r="C26" s="12"/>
      <c r="D26" s="10"/>
      <c r="E26" s="13"/>
      <c r="F26" s="13"/>
      <c r="G26" s="13"/>
    </row>
    <row r="27" spans="1:8" ht="15" customHeight="1" x14ac:dyDescent="0.2">
      <c r="A27" s="11"/>
      <c r="B27" s="11"/>
      <c r="C27" s="12"/>
      <c r="D27" s="10"/>
      <c r="E27" s="13"/>
      <c r="F27" s="13"/>
      <c r="G27" s="13"/>
    </row>
    <row r="28" spans="1:8" ht="15" customHeight="1" x14ac:dyDescent="0.2">
      <c r="A28" s="11"/>
      <c r="B28" s="11"/>
      <c r="C28" s="12"/>
      <c r="D28" s="10"/>
      <c r="E28" s="13"/>
      <c r="F28" s="13"/>
      <c r="G28" s="13"/>
    </row>
    <row r="29" spans="1:8" ht="15" customHeight="1" x14ac:dyDescent="0.2">
      <c r="A29" s="11"/>
      <c r="B29" s="11"/>
      <c r="C29" s="12"/>
      <c r="D29" s="10"/>
      <c r="E29" s="13"/>
      <c r="F29" s="13"/>
      <c r="G29" s="13"/>
    </row>
    <row r="30" spans="1:8" ht="15" customHeight="1" x14ac:dyDescent="0.2">
      <c r="A30" s="11"/>
      <c r="B30" s="11"/>
      <c r="C30" s="12"/>
      <c r="D30" s="10"/>
      <c r="E30" s="13"/>
      <c r="F30" s="13"/>
      <c r="G30" s="13"/>
    </row>
    <row r="31" spans="1:8" ht="15" customHeight="1" x14ac:dyDescent="0.2">
      <c r="A31" s="11"/>
      <c r="B31" s="11"/>
      <c r="C31" s="12"/>
      <c r="D31" s="10"/>
      <c r="E31" s="13"/>
      <c r="F31" s="13"/>
      <c r="G31" s="13"/>
    </row>
    <row r="32" spans="1:8" ht="15" customHeight="1" x14ac:dyDescent="0.2">
      <c r="A32" s="11"/>
      <c r="B32" s="11"/>
      <c r="C32" s="12"/>
      <c r="D32" s="10"/>
      <c r="E32" s="13"/>
      <c r="F32" s="13"/>
      <c r="G32" s="13"/>
    </row>
    <row r="33" spans="1:7" ht="15" customHeight="1" x14ac:dyDescent="0.2">
      <c r="A33" s="11"/>
      <c r="B33" s="11"/>
      <c r="C33" s="12"/>
      <c r="D33" s="10"/>
      <c r="E33" s="13"/>
      <c r="F33" s="13"/>
      <c r="G33" s="13"/>
    </row>
    <row r="34" spans="1:7" ht="15" customHeight="1" x14ac:dyDescent="0.2">
      <c r="A34" s="11"/>
      <c r="B34" s="11"/>
      <c r="C34" s="12"/>
      <c r="D34" s="10"/>
      <c r="E34" s="13"/>
      <c r="F34" s="13"/>
      <c r="G34" s="13"/>
    </row>
    <row r="35" spans="1:7" ht="15" customHeight="1" x14ac:dyDescent="0.2">
      <c r="A35" s="11"/>
      <c r="B35" s="11"/>
      <c r="C35" s="12"/>
      <c r="D35" s="10"/>
      <c r="E35" s="13"/>
      <c r="F35" s="13"/>
      <c r="G35" s="13"/>
    </row>
    <row r="36" spans="1:7" ht="15" customHeight="1" x14ac:dyDescent="0.2">
      <c r="A36" s="11"/>
      <c r="B36" s="11"/>
      <c r="C36" s="12"/>
      <c r="D36" s="10"/>
      <c r="E36" s="13"/>
      <c r="F36" s="13"/>
      <c r="G36" s="13"/>
    </row>
    <row r="37" spans="1:7" ht="15" thickBot="1" x14ac:dyDescent="0.25">
      <c r="A37" s="9"/>
      <c r="B37" s="9"/>
      <c r="C37" s="9"/>
      <c r="D37" s="9"/>
      <c r="E37" s="9"/>
      <c r="F37" s="9"/>
      <c r="G37" s="9"/>
    </row>
    <row r="38" spans="1:7" ht="16.5" thickTop="1" x14ac:dyDescent="0.25">
      <c r="A38" s="21" t="s">
        <v>2</v>
      </c>
      <c r="B38" s="17"/>
      <c r="C38" s="17"/>
      <c r="D38" s="21" t="s">
        <v>15</v>
      </c>
      <c r="E38" s="22"/>
      <c r="F38" s="21" t="s">
        <v>16</v>
      </c>
      <c r="G38" s="22"/>
    </row>
    <row r="39" spans="1:7" s="3" customFormat="1" ht="29.25" customHeight="1" x14ac:dyDescent="0.25">
      <c r="A39" s="15" t="s">
        <v>32</v>
      </c>
      <c r="B39" s="23"/>
      <c r="C39" s="23"/>
      <c r="D39" s="15"/>
      <c r="E39" s="24"/>
      <c r="F39" s="37">
        <f>'[1]2026'!$M$22</f>
        <v>46318</v>
      </c>
      <c r="G39" s="38"/>
    </row>
    <row r="40" spans="1:7" ht="15.75" x14ac:dyDescent="0.25">
      <c r="A40" s="25" t="s">
        <v>3</v>
      </c>
      <c r="B40" s="26"/>
      <c r="C40" s="26"/>
      <c r="D40" s="25" t="s">
        <v>15</v>
      </c>
      <c r="E40" s="27"/>
      <c r="F40" s="25" t="s">
        <v>16</v>
      </c>
      <c r="G40" s="27"/>
    </row>
    <row r="41" spans="1:7" ht="29.25" customHeight="1" x14ac:dyDescent="0.25">
      <c r="A41" s="15" t="s">
        <v>26</v>
      </c>
      <c r="B41" s="28"/>
      <c r="C41" s="28"/>
      <c r="D41" s="30"/>
      <c r="E41" s="29"/>
      <c r="F41" s="37">
        <f>'[1]2026'!$M$22</f>
        <v>46318</v>
      </c>
      <c r="G41" s="38"/>
    </row>
    <row r="42" spans="1:7" ht="14.25" customHeight="1" x14ac:dyDescent="0.2">
      <c r="A42" s="39" t="s">
        <v>17</v>
      </c>
      <c r="B42" s="40"/>
      <c r="C42" s="40"/>
      <c r="D42" s="40"/>
      <c r="E42" s="40"/>
      <c r="F42" s="40"/>
      <c r="G42" s="41"/>
    </row>
    <row r="43" spans="1:7" ht="14.25" customHeight="1" x14ac:dyDescent="0.2">
      <c r="A43" s="42"/>
      <c r="B43" s="43"/>
      <c r="C43" s="43"/>
      <c r="D43" s="43"/>
      <c r="E43" s="43"/>
      <c r="F43" s="43"/>
      <c r="G43" s="44"/>
    </row>
    <row r="44" spans="1:7" ht="15" thickBot="1" x14ac:dyDescent="0.25">
      <c r="A44" s="45"/>
      <c r="B44" s="46"/>
      <c r="C44" s="46"/>
      <c r="D44" s="46"/>
      <c r="E44" s="46"/>
      <c r="F44" s="46"/>
      <c r="G44" s="47"/>
    </row>
    <row r="45" spans="1:7" ht="15" thickTop="1" x14ac:dyDescent="0.2"/>
  </sheetData>
  <mergeCells count="19">
    <mergeCell ref="E6:G6"/>
    <mergeCell ref="A19:B19"/>
    <mergeCell ref="A21:B21"/>
    <mergeCell ref="E19:G19"/>
    <mergeCell ref="E8:G8"/>
    <mergeCell ref="E9:G9"/>
    <mergeCell ref="E10:G10"/>
    <mergeCell ref="E11:G11"/>
    <mergeCell ref="E12:G12"/>
    <mergeCell ref="E13:G13"/>
    <mergeCell ref="E14:G14"/>
    <mergeCell ref="E15:G15"/>
    <mergeCell ref="E16:G16"/>
    <mergeCell ref="E17:G17"/>
    <mergeCell ref="F41:G41"/>
    <mergeCell ref="A42:G44"/>
    <mergeCell ref="F39:G39"/>
    <mergeCell ref="F20:G20"/>
    <mergeCell ref="E21:G21"/>
  </mergeCells>
  <pageMargins left="0.7" right="0.7" top="0.75" bottom="0.75" header="0.3" footer="0.3"/>
  <pageSetup scale="8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Heavy Metals</vt:lpstr>
      <vt:lpstr>'Heavy Metals'!Print_Area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2026-01-01T00:00:00Z</cp:lastPrinted>
  <dcterms:created xsi:type="dcterms:W3CDTF">2026-01-01T00:00:00Z</dcterms:created>
  <dcterms:modified xsi:type="dcterms:W3CDTF">2026-01-01T00:00:00Z</dcterms:modified>
</cp:coreProperties>
</file>